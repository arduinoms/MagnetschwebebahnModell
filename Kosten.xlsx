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ps\Documents\Schule\24_25\W-Seminar\Praxis\"/>
    </mc:Choice>
  </mc:AlternateContent>
  <xr:revisionPtr revIDLastSave="0" documentId="13_ncr:1_{ECD66601-DBD9-4EB1-8919-BE71A59F6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N5" i="1"/>
  <c r="N4" i="1"/>
  <c r="L8" i="1"/>
  <c r="L5" i="1"/>
  <c r="L6" i="1"/>
  <c r="L7" i="1"/>
  <c r="L4" i="1"/>
  <c r="K4" i="1"/>
  <c r="K5" i="1"/>
  <c r="K6" i="1"/>
  <c r="K7" i="1"/>
  <c r="K8" i="1"/>
  <c r="K9" i="1"/>
  <c r="K10" i="1"/>
  <c r="K11" i="1"/>
  <c r="K12" i="1"/>
  <c r="K13" i="1"/>
  <c r="K14" i="1"/>
</calcChain>
</file>

<file path=xl/sharedStrings.xml><?xml version="1.0" encoding="utf-8"?>
<sst xmlns="http://schemas.openxmlformats.org/spreadsheetml/2006/main" count="65" uniqueCount="40">
  <si>
    <t>Kosten Modelle</t>
  </si>
  <si>
    <t>Linearmotor</t>
  </si>
  <si>
    <t>Bauteil</t>
  </si>
  <si>
    <t>Kosten</t>
  </si>
  <si>
    <t>Magnetschwebesystem</t>
  </si>
  <si>
    <t>Link</t>
  </si>
  <si>
    <t>Neu?</t>
  </si>
  <si>
    <t>1/2 1,5mm Acrylplatte</t>
  </si>
  <si>
    <t>Ja</t>
  </si>
  <si>
    <t>https://brain.fablab.fau.de/build/pricelist/price_list-Laser.html</t>
  </si>
  <si>
    <t xml:space="preserve">https://brain.fablab.fau.de/build/pricelist/price_list-Laser.html </t>
  </si>
  <si>
    <t>5 Minuten Laserzeit (0,6€/min)</t>
  </si>
  <si>
    <t>4mm Sperholz Pappel</t>
  </si>
  <si>
    <t>Quadermagnet, Neodym</t>
  </si>
  <si>
    <t>Schrauben</t>
  </si>
  <si>
    <t>-</t>
  </si>
  <si>
    <t xml:space="preserve">https://www.supermagnete.de/quadermagnete-neodym/quadermagnet-15mm-4mm-4mm_Q-15-04-04-MN </t>
  </si>
  <si>
    <t>Nein</t>
  </si>
  <si>
    <t>Holzplatte</t>
  </si>
  <si>
    <t xml:space="preserve">https://www.maerklinshop.de/maerklin/spur-h0/gleismaterial/c-gleis/51302/maerklin-gerades-c-gleis-laenge-188-3-mm </t>
  </si>
  <si>
    <t>2*Schienen</t>
  </si>
  <si>
    <t>2*Prellböcke</t>
  </si>
  <si>
    <t xml:space="preserve">https://www.maerklinshop.de/maerklin/spur-h0/gleismaterial/c-gleis/51322/maerklin-gleisende-mit-prellbock-laenge-77-5-mm-5-mm </t>
  </si>
  <si>
    <t>Arduino Uno R4 Minima</t>
  </si>
  <si>
    <t xml:space="preserve">https://www.reichelt.de/de/de/shop/produkt/arduino_uno_rev4_minima_ra4m1-353160 </t>
  </si>
  <si>
    <t>OLED-Display</t>
  </si>
  <si>
    <t>Rotary Encoder</t>
  </si>
  <si>
    <t>Relay-Board (8 Relays)</t>
  </si>
  <si>
    <t>Wago-Klemmen</t>
  </si>
  <si>
    <t>Leitungsmaterial</t>
  </si>
  <si>
    <t>3D-Druck-Teile</t>
  </si>
  <si>
    <t xml:space="preserve">https://funduinoshop.com/elektronische-module/displays/oled/oled-0.96-128x64-gvss-i2c </t>
  </si>
  <si>
    <t>https://funduinoshop.com/elektronische-module/keypads-und-buttons/rotary-encoder/ky-040-drehimpulsgeber-rotary-encoder</t>
  </si>
  <si>
    <t>https://www.digikey.de/de/products/detail/sunfounder/TS0012/18668607?gclsrc=aw.ds&amp;gad_source=5&amp;gad_campaignid=20179951824&amp;gclid=EAIaIQobChMIgKnBkOWHkAMVWpGDBx11WQuSEAQYAiABEgKIwvD_BwE</t>
  </si>
  <si>
    <t>Breadboard</t>
  </si>
  <si>
    <t>https://funduinoshop.com/bauelemente/steckbretter-und-platinen/steckbretter/miniatur-breadboard-mit-170-steckplaetzen-div.-farben?number=F23106776</t>
  </si>
  <si>
    <t>SUMME</t>
  </si>
  <si>
    <t>Mit Bestand</t>
  </si>
  <si>
    <t>Ohne Bestand</t>
  </si>
  <si>
    <t xml:space="preserve">Berechnung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</si>
</sst>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8" fontId="0" fillId="0" borderId="0" xfId="0" applyNumberFormat="1"/>
    <xf numFmtId="8" fontId="1" fillId="0" borderId="0" xfId="1" applyNumberFormat="1"/>
    <xf numFmtId="0" fontId="1" fillId="0" borderId="0" xfId="1"/>
    <xf numFmtId="165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unduinoshop.com/elektronische-module/displays/oled/oled-0.96-128x64-gvss-i2c" TargetMode="External"/><Relationship Id="rId3" Type="http://schemas.openxmlformats.org/officeDocument/2006/relationships/hyperlink" Target="https://brain.fablab.fau.de/build/pricelist/price_list-Laser.html" TargetMode="External"/><Relationship Id="rId7" Type="http://schemas.openxmlformats.org/officeDocument/2006/relationships/hyperlink" Target="https://www.reichelt.de/de/de/shop/produkt/arduino_uno_rev4_minima_ra4m1-353160" TargetMode="External"/><Relationship Id="rId2" Type="http://schemas.openxmlformats.org/officeDocument/2006/relationships/hyperlink" Target="https://brain.fablab.fau.de/build/pricelist/price_list-Laser.html" TargetMode="External"/><Relationship Id="rId1" Type="http://schemas.openxmlformats.org/officeDocument/2006/relationships/hyperlink" Target="https://brain.fablab.fau.de/build/pricelist/price_list-Laser.html" TargetMode="External"/><Relationship Id="rId6" Type="http://schemas.openxmlformats.org/officeDocument/2006/relationships/hyperlink" Target="https://www.maerklinshop.de/maerklin/spur-h0/gleismaterial/c-gleis/51322/maerklin-gleisende-mit-prellbock-laenge-77-5-mm-5-mm" TargetMode="External"/><Relationship Id="rId5" Type="http://schemas.openxmlformats.org/officeDocument/2006/relationships/hyperlink" Target="https://www.maerklinshop.de/maerklin/spur-h0/gleismaterial/c-gleis/51302/maerklin-gerades-c-gleis-laenge-188-3-mm" TargetMode="External"/><Relationship Id="rId10" Type="http://schemas.openxmlformats.org/officeDocument/2006/relationships/hyperlink" Target="https://www.digikey.de/de/products/detail/sunfounder/TS0012/18668607?gclsrc=aw.ds&amp;gad_source=5&amp;gad_campaignid=20179951824&amp;gclid=EAIaIQobChMIgKnBkOWHkAMVWpGDBx11WQuSEAQYAiABEgKIwvD_BwE" TargetMode="External"/><Relationship Id="rId4" Type="http://schemas.openxmlformats.org/officeDocument/2006/relationships/hyperlink" Target="https://www.supermagnete.de/quadermagnete-neodym/quadermagnet-15mm-4mm-4mm_Q-15-04-04-MN" TargetMode="External"/><Relationship Id="rId9" Type="http://schemas.openxmlformats.org/officeDocument/2006/relationships/hyperlink" Target="https://funduinoshop.com/elektronische-module/keypads-und-buttons/rotary-encoder/ky-040-drehimpulsgeber-rotary-enco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60" zoomScaleNormal="160" workbookViewId="0">
      <selection activeCell="H15" sqref="H15"/>
    </sheetView>
  </sheetViews>
  <sheetFormatPr baseColWidth="10" defaultColWidth="9.140625" defaultRowHeight="15" x14ac:dyDescent="0.25"/>
  <cols>
    <col min="1" max="1" width="22.140625" bestFit="1" customWidth="1"/>
    <col min="3" max="3" width="7.85546875" style="4" customWidth="1"/>
    <col min="4" max="4" width="5.7109375" bestFit="1" customWidth="1"/>
    <col min="5" max="5" width="7.42578125" customWidth="1"/>
    <col min="6" max="6" width="28.42578125" bestFit="1" customWidth="1"/>
    <col min="7" max="7" width="7" customWidth="1"/>
    <col min="8" max="8" width="8" customWidth="1"/>
    <col min="9" max="9" width="5.7109375" bestFit="1" customWidth="1"/>
    <col min="10" max="10" width="61.140625" customWidth="1"/>
    <col min="11" max="11" width="12" style="4" bestFit="1" customWidth="1"/>
    <col min="12" max="12" width="9.140625" style="4"/>
    <col min="14" max="14" width="13.42578125" bestFit="1" customWidth="1"/>
  </cols>
  <sheetData>
    <row r="1" spans="1:14" x14ac:dyDescent="0.25">
      <c r="A1" t="s">
        <v>0</v>
      </c>
    </row>
    <row r="2" spans="1:14" x14ac:dyDescent="0.25">
      <c r="A2" t="s">
        <v>1</v>
      </c>
      <c r="F2" t="s">
        <v>4</v>
      </c>
      <c r="K2" s="4" t="s">
        <v>39</v>
      </c>
    </row>
    <row r="3" spans="1:14" x14ac:dyDescent="0.25">
      <c r="A3" t="s">
        <v>2</v>
      </c>
      <c r="B3" t="s">
        <v>5</v>
      </c>
      <c r="C3" s="4" t="s">
        <v>3</v>
      </c>
      <c r="D3" t="s">
        <v>6</v>
      </c>
      <c r="F3" t="s">
        <v>2</v>
      </c>
      <c r="G3" t="s">
        <v>5</v>
      </c>
      <c r="H3" t="s">
        <v>3</v>
      </c>
      <c r="I3" t="s">
        <v>6</v>
      </c>
      <c r="K3" s="4" t="s">
        <v>37</v>
      </c>
      <c r="N3" t="s">
        <v>38</v>
      </c>
    </row>
    <row r="4" spans="1:14" x14ac:dyDescent="0.25">
      <c r="A4" t="s">
        <v>18</v>
      </c>
      <c r="B4" t="s">
        <v>15</v>
      </c>
      <c r="C4" s="4">
        <v>1</v>
      </c>
      <c r="D4" t="s">
        <v>17</v>
      </c>
      <c r="F4" t="s">
        <v>7</v>
      </c>
      <c r="G4" s="2" t="s">
        <v>10</v>
      </c>
      <c r="H4" s="1">
        <v>3</v>
      </c>
      <c r="I4" t="s">
        <v>8</v>
      </c>
      <c r="K4" s="4">
        <f>IF(D4="Ja",C4,0)</f>
        <v>0</v>
      </c>
      <c r="L4" s="4">
        <f>IF(I4="Ja",H4,0)</f>
        <v>3</v>
      </c>
      <c r="N4" s="4">
        <f>SUM(C4:C14)</f>
        <v>70.59</v>
      </c>
    </row>
    <row r="5" spans="1:14" x14ac:dyDescent="0.25">
      <c r="A5" t="s">
        <v>20</v>
      </c>
      <c r="B5" s="3" t="s">
        <v>19</v>
      </c>
      <c r="C5" s="4">
        <v>7.38</v>
      </c>
      <c r="D5" t="s">
        <v>17</v>
      </c>
      <c r="F5" t="s">
        <v>12</v>
      </c>
      <c r="G5" s="2" t="s">
        <v>9</v>
      </c>
      <c r="H5" s="1">
        <v>3</v>
      </c>
      <c r="I5" t="s">
        <v>8</v>
      </c>
      <c r="K5" s="4">
        <f t="shared" ref="K5:K14" si="0">IF(D5="Ja",C5,0)</f>
        <v>0</v>
      </c>
      <c r="L5" s="4">
        <f t="shared" ref="L5:L7" si="1">IF(I5="Ja",H5,0)</f>
        <v>3</v>
      </c>
      <c r="N5" s="1">
        <f>SUM(H4:H8)</f>
        <v>31</v>
      </c>
    </row>
    <row r="6" spans="1:14" x14ac:dyDescent="0.25">
      <c r="A6" t="s">
        <v>21</v>
      </c>
      <c r="B6" s="3" t="s">
        <v>22</v>
      </c>
      <c r="C6" s="4">
        <v>17.98</v>
      </c>
      <c r="D6" t="s">
        <v>17</v>
      </c>
      <c r="F6" t="s">
        <v>11</v>
      </c>
      <c r="G6" s="3" t="s">
        <v>9</v>
      </c>
      <c r="H6" s="1">
        <v>3</v>
      </c>
      <c r="I6" t="s">
        <v>8</v>
      </c>
      <c r="K6" s="4">
        <f t="shared" si="0"/>
        <v>0</v>
      </c>
      <c r="L6" s="4">
        <f t="shared" si="1"/>
        <v>3</v>
      </c>
    </row>
    <row r="7" spans="1:14" x14ac:dyDescent="0.25">
      <c r="A7" t="s">
        <v>23</v>
      </c>
      <c r="B7" s="3" t="s">
        <v>24</v>
      </c>
      <c r="C7" s="4">
        <v>18</v>
      </c>
      <c r="D7" t="s">
        <v>17</v>
      </c>
      <c r="F7" t="s">
        <v>13</v>
      </c>
      <c r="G7" s="3" t="s">
        <v>16</v>
      </c>
      <c r="H7" s="1">
        <v>22</v>
      </c>
      <c r="I7" t="s">
        <v>8</v>
      </c>
      <c r="K7" s="4">
        <f t="shared" si="0"/>
        <v>0</v>
      </c>
      <c r="L7" s="4">
        <f t="shared" si="1"/>
        <v>22</v>
      </c>
    </row>
    <row r="8" spans="1:14" x14ac:dyDescent="0.25">
      <c r="A8" t="s">
        <v>25</v>
      </c>
      <c r="B8" s="3" t="s">
        <v>31</v>
      </c>
      <c r="C8" s="4">
        <v>4.66</v>
      </c>
      <c r="D8" t="s">
        <v>17</v>
      </c>
      <c r="F8" t="s">
        <v>14</v>
      </c>
      <c r="G8" t="s">
        <v>15</v>
      </c>
      <c r="H8" s="1">
        <v>0</v>
      </c>
      <c r="I8" t="s">
        <v>17</v>
      </c>
      <c r="K8" s="4">
        <f t="shared" si="0"/>
        <v>0</v>
      </c>
      <c r="L8" s="4">
        <f>IF(I8="Ja",H8,0)</f>
        <v>0</v>
      </c>
    </row>
    <row r="9" spans="1:14" x14ac:dyDescent="0.25">
      <c r="A9" t="s">
        <v>26</v>
      </c>
      <c r="B9" s="3" t="s">
        <v>32</v>
      </c>
      <c r="C9" s="4">
        <v>1.84</v>
      </c>
      <c r="D9" t="s">
        <v>17</v>
      </c>
      <c r="K9" s="4">
        <f t="shared" si="0"/>
        <v>0</v>
      </c>
    </row>
    <row r="10" spans="1:14" x14ac:dyDescent="0.25">
      <c r="A10" t="s">
        <v>27</v>
      </c>
      <c r="B10" s="3" t="s">
        <v>33</v>
      </c>
      <c r="C10" s="4">
        <v>10.119999999999999</v>
      </c>
      <c r="D10" t="s">
        <v>17</v>
      </c>
      <c r="H10" s="1"/>
      <c r="K10" s="4">
        <f t="shared" si="0"/>
        <v>0</v>
      </c>
    </row>
    <row r="11" spans="1:14" x14ac:dyDescent="0.25">
      <c r="A11" t="s">
        <v>34</v>
      </c>
      <c r="B11" s="3" t="s">
        <v>35</v>
      </c>
      <c r="C11" s="4">
        <v>1.1100000000000001</v>
      </c>
      <c r="D11" t="s">
        <v>17</v>
      </c>
      <c r="H11" s="1"/>
      <c r="K11" s="4">
        <f t="shared" si="0"/>
        <v>0</v>
      </c>
    </row>
    <row r="12" spans="1:14" x14ac:dyDescent="0.25">
      <c r="A12" t="s">
        <v>28</v>
      </c>
      <c r="B12" t="s">
        <v>15</v>
      </c>
      <c r="C12" s="4">
        <v>0.5</v>
      </c>
      <c r="D12" t="s">
        <v>17</v>
      </c>
      <c r="K12" s="4">
        <f t="shared" si="0"/>
        <v>0</v>
      </c>
    </row>
    <row r="13" spans="1:14" x14ac:dyDescent="0.25">
      <c r="A13" t="s">
        <v>29</v>
      </c>
      <c r="B13" t="s">
        <v>15</v>
      </c>
      <c r="C13" s="4">
        <v>3</v>
      </c>
      <c r="D13" t="s">
        <v>17</v>
      </c>
      <c r="K13" s="4">
        <f t="shared" si="0"/>
        <v>0</v>
      </c>
    </row>
    <row r="14" spans="1:14" x14ac:dyDescent="0.25">
      <c r="A14" t="s">
        <v>30</v>
      </c>
      <c r="B14" t="s">
        <v>15</v>
      </c>
      <c r="C14" s="4">
        <v>5</v>
      </c>
      <c r="D14" t="s">
        <v>8</v>
      </c>
      <c r="K14" s="4">
        <f t="shared" si="0"/>
        <v>5</v>
      </c>
    </row>
    <row r="16" spans="1:14" x14ac:dyDescent="0.25">
      <c r="A16" t="s">
        <v>36</v>
      </c>
    </row>
    <row r="17" spans="1:2" x14ac:dyDescent="0.25">
      <c r="A17" t="s">
        <v>38</v>
      </c>
      <c r="B17" s="4">
        <f>SUM(N4:N5)</f>
        <v>101.59</v>
      </c>
    </row>
    <row r="18" spans="1:2" x14ac:dyDescent="0.25">
      <c r="A18" t="s">
        <v>37</v>
      </c>
      <c r="B18" s="4">
        <f>SUM(K4:K14,L4:L8)</f>
        <v>36</v>
      </c>
    </row>
  </sheetData>
  <hyperlinks>
    <hyperlink ref="G4" r:id="rId1" xr:uid="{050A23E3-6399-4A3E-87E4-8E3EB86E3C6E}"/>
    <hyperlink ref="G6" r:id="rId2" xr:uid="{7C5A3CFB-CA8F-4D3A-8DA3-0308DCB1045B}"/>
    <hyperlink ref="G5" r:id="rId3" xr:uid="{01D6A05B-FAB0-43B6-9D53-A4DD4400532D}"/>
    <hyperlink ref="G7" r:id="rId4" xr:uid="{1D24A5EF-4553-4569-9F77-32EA1B7DC31B}"/>
    <hyperlink ref="B5" r:id="rId5" xr:uid="{2C82532D-878E-46DA-970E-0DB7FD92A15C}"/>
    <hyperlink ref="B6" r:id="rId6" xr:uid="{A36ECE21-8815-4039-8B4F-43A318BF60D2}"/>
    <hyperlink ref="B7" r:id="rId7" xr:uid="{04E29437-220E-4023-BB8B-D3233437B72F}"/>
    <hyperlink ref="B8" r:id="rId8" xr:uid="{5F0E4674-F3EA-4D45-9BBF-E02684F06051}"/>
    <hyperlink ref="B9" r:id="rId9" xr:uid="{23A0C83B-4252-456A-B4CB-0CAED7E465B9}"/>
    <hyperlink ref="B10" r:id="rId10" xr:uid="{67F70FE3-EAA5-4FC3-8574-DDD1AEE8D8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Kaps</dc:creator>
  <cp:lastModifiedBy>Jakob Kaps</cp:lastModifiedBy>
  <dcterms:created xsi:type="dcterms:W3CDTF">2015-06-05T18:19:34Z</dcterms:created>
  <dcterms:modified xsi:type="dcterms:W3CDTF">2025-10-03T10:20:17Z</dcterms:modified>
</cp:coreProperties>
</file>